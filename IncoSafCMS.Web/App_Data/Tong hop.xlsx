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codeName="ThisWorkbook"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TỔNG HỢP" sheetId="1" r:id="rId1"/>
  </sheets>
  <definedNames>
    <definedName name="_xlnm._FilterDatabase" localSheetId="0" hidden="1">'TỔNG HỢP'!$A$4:$R$4</definedName>
    <definedName name="DETAILRANGE" localSheetId="0">'TỔNG HỢP'!$A$6:$R$6</definedName>
    <definedName name="HEADERRANGE" localSheetId="0">'TỔNG HỢP'!$A$1:$R$5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G6" i="1"/>
  <c r="L6" i="1"/>
  <c r="F6" i="1"/>
  <c r="O6" i="1"/>
  <c r="K6" i="1"/>
  <c r="I6" i="1"/>
  <c r="E6" i="1"/>
  <c r="D6" i="1"/>
  <c r="M6" i="1"/>
  <c r="H6" i="1"/>
  <c r="C6" i="1"/>
  <c r="J6" i="1"/>
  <c r="D5" i="1" l="1"/>
  <c r="J5" i="1"/>
  <c r="M5" i="1"/>
  <c r="O5" i="1"/>
  <c r="I5" i="1"/>
  <c r="K5" i="1"/>
  <c r="H5" i="1"/>
  <c r="G5" i="1"/>
  <c r="F5" i="1"/>
  <c r="L5" i="1"/>
  <c r="E5" i="1"/>
  <c r="R6" i="1"/>
  <c r="R5" i="1" s="1"/>
  <c r="Q6" i="1"/>
  <c r="Q5" i="1" s="1"/>
  <c r="N6" i="1"/>
  <c r="N5" i="1" s="1"/>
  <c r="P6" i="1"/>
  <c r="P5" i="1" s="1"/>
</calcChain>
</file>

<file path=xl/sharedStrings.xml><?xml version="1.0" encoding="utf-8"?>
<sst xmlns="http://schemas.openxmlformats.org/spreadsheetml/2006/main" count="20" uniqueCount="20">
  <si>
    <t>BÁO CÁO TỔNG HỢP</t>
  </si>
  <si>
    <t>Chủ trì</t>
  </si>
  <si>
    <t>Số HĐ đã ký</t>
  </si>
  <si>
    <t>Sản lượng</t>
  </si>
  <si>
    <t>Doanh thu</t>
  </si>
  <si>
    <t>Tiền về</t>
  </si>
  <si>
    <t>Nợ phải thu</t>
  </si>
  <si>
    <t>Giá trị H.Đồng đang thực hiện</t>
  </si>
  <si>
    <t>Giá trị theo Doanh thu</t>
  </si>
  <si>
    <t>Giá trị theo Tiền về</t>
  </si>
  <si>
    <t>% thực hiện</t>
  </si>
  <si>
    <t>Chủ trì đóng góp (Cty + T.Tâm)</t>
  </si>
  <si>
    <t>TV - khoán T.Tâm</t>
  </si>
  <si>
    <t>Giá trị khoán Cty</t>
  </si>
  <si>
    <t>Giá trị khoán Chủ trì</t>
  </si>
  <si>
    <t>Cty thanh toán cho Trung tâm</t>
  </si>
  <si>
    <t>T.Tâm thanh toán cho chủ trì (T.tế)</t>
  </si>
  <si>
    <t>Còn quỹ quản lý Trung tâm</t>
  </si>
  <si>
    <t>STT</t>
  </si>
  <si>
    <t>Sản lượng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</si>
</sst>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/>
    </xf>
    <xf numFmtId="10" fontId="2" fillId="0" borderId="1" xfId="0" applyNumberFormat="1" applyFont="1" applyBorder="1" applyAlignment="1">
      <alignment horizontal="right" vertical="top"/>
    </xf>
    <xf numFmtId="2" fontId="2" fillId="0" borderId="1" xfId="0" applyNumberFormat="1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"/>
  <sheetViews>
    <sheetView showGridLines="0" tabSelected="1" workbookViewId="0">
      <pane ySplit="5" topLeftCell="A6" activePane="bottomLeft" state="frozen"/>
      <selection pane="bottomLeft" activeCell="G10" sqref="G10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8.28515625" style="1" customWidth="1"/>
    <col min="4" max="4" width="7.28515625" style="1" customWidth="1"/>
    <col min="5" max="5" width="18.7109375" style="1" customWidth="1"/>
    <col min="6" max="7" width="16.5703125" style="1" customWidth="1"/>
    <col min="8" max="8" width="15.85546875" style="1" customWidth="1"/>
    <col min="9" max="9" width="15" style="1" customWidth="1"/>
    <col min="10" max="15" width="11.28515625" style="1" customWidth="1"/>
    <col min="16" max="16" width="9.140625" style="1"/>
    <col min="17" max="18" width="11.28515625" style="1" customWidth="1"/>
    <col min="19" max="16384" width="9.140625" style="1"/>
  </cols>
  <sheetData>
    <row r="1" spans="1:18" ht="20.25" x14ac:dyDescent="0.2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x14ac:dyDescent="0.2">
      <c r="A3" s="3"/>
      <c r="B3" s="15" t="s">
        <v>18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3" t="s">
        <v>8</v>
      </c>
      <c r="K3" s="13"/>
      <c r="L3" s="13" t="s">
        <v>9</v>
      </c>
      <c r="M3" s="13"/>
      <c r="N3" s="13"/>
      <c r="O3" s="15" t="s">
        <v>19</v>
      </c>
      <c r="P3" s="15" t="s">
        <v>10</v>
      </c>
      <c r="Q3" s="15" t="s">
        <v>11</v>
      </c>
      <c r="R3" s="15" t="s">
        <v>12</v>
      </c>
    </row>
    <row r="4" spans="1:18" ht="38.25" x14ac:dyDescent="0.2">
      <c r="A4" s="3"/>
      <c r="B4" s="16"/>
      <c r="C4" s="16"/>
      <c r="D4" s="16"/>
      <c r="E4" s="16"/>
      <c r="F4" s="16"/>
      <c r="G4" s="16"/>
      <c r="H4" s="16"/>
      <c r="I4" s="16"/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16"/>
      <c r="P4" s="16"/>
      <c r="Q4" s="16"/>
      <c r="R4" s="16"/>
    </row>
    <row r="5" spans="1:18" x14ac:dyDescent="0.2">
      <c r="B5" s="9"/>
      <c r="C5" s="10"/>
      <c r="D5" s="11" t="e">
        <f ca="1">SUM(D6:D1048576)</f>
        <v>#NAME?</v>
      </c>
      <c r="E5" s="12" t="e">
        <f ca="1">SUM(E6:E1048576)</f>
        <v>#NAME?</v>
      </c>
      <c r="F5" s="12" t="e">
        <f t="shared" ref="F5:R5" ca="1" si="0">SUM(F6:F1048576)</f>
        <v>#NAME?</v>
      </c>
      <c r="G5" s="12" t="e">
        <f t="shared" ca="1" si="0"/>
        <v>#NAME?</v>
      </c>
      <c r="H5" s="12" t="e">
        <f t="shared" ca="1" si="0"/>
        <v>#NAME?</v>
      </c>
      <c r="I5" s="12" t="e">
        <f t="shared" ca="1" si="0"/>
        <v>#NAME?</v>
      </c>
      <c r="J5" s="12" t="e">
        <f t="shared" ca="1" si="0"/>
        <v>#NAME?</v>
      </c>
      <c r="K5" s="12" t="e">
        <f t="shared" ca="1" si="0"/>
        <v>#NAME?</v>
      </c>
      <c r="L5" s="12" t="e">
        <f t="shared" ca="1" si="0"/>
        <v>#NAME?</v>
      </c>
      <c r="M5" s="12" t="e">
        <f t="shared" ca="1" si="0"/>
        <v>#NAME?</v>
      </c>
      <c r="N5" s="12" t="e">
        <f t="shared" ca="1" si="0"/>
        <v>#NAME?</v>
      </c>
      <c r="O5" s="12" t="e">
        <f t="shared" ca="1" si="0"/>
        <v>#NAME?</v>
      </c>
      <c r="P5" s="12" t="e">
        <f t="shared" ca="1" si="0"/>
        <v>#NAME?</v>
      </c>
      <c r="Q5" s="12" t="e">
        <f t="shared" ca="1" si="0"/>
        <v>#NAME?</v>
      </c>
      <c r="R5" s="12" t="e">
        <f t="shared" ca="1" si="0"/>
        <v>#NAME?</v>
      </c>
    </row>
    <row r="6" spans="1:18" x14ac:dyDescent="0.2">
      <c r="B6" s="4">
        <f>ROW() - 5</f>
        <v>1</v>
      </c>
      <c r="C6" s="5" t="e">
        <f ca="1">FIELD("UserDisplayName")</f>
        <v>#NAME?</v>
      </c>
      <c r="D6" s="8" t="e">
        <f ca="1">FIELD("SoHDDaKy")</f>
        <v>#NAME?</v>
      </c>
      <c r="E6" s="6" t="e">
        <f ca="1">FIELD("TongSanLuong")</f>
        <v>#NAME?</v>
      </c>
      <c r="F6" s="6" t="e">
        <f ca="1">FIELD("TongDoanhThu")</f>
        <v>#NAME?</v>
      </c>
      <c r="G6" s="6" t="e">
        <f ca="1">FIELD("TongTienVe")</f>
        <v>#NAME?</v>
      </c>
      <c r="H6" s="6" t="e">
        <f ca="1">FIELD("TongNoPhaiThu")</f>
        <v>#NAME?</v>
      </c>
      <c r="I6" s="6" t="e">
        <f ca="1">FIELD("TongGiaTriHDDTH")</f>
        <v>#NAME?</v>
      </c>
      <c r="J6" s="6" t="e">
        <f ca="1">FIELD("DTKhoanTrungTam")</f>
        <v>#NAME?</v>
      </c>
      <c r="K6" s="6" t="e">
        <f ca="1">FIELD("DTKhoanCaNhan")</f>
        <v>#NAME?</v>
      </c>
      <c r="L6" s="6" t="e">
        <f ca="1">FIELD("TVThanhToanTrungTam")</f>
        <v>#NAME?</v>
      </c>
      <c r="M6" s="6" t="e">
        <f ca="1">FIELD("TVThanhToanCaNhan")</f>
        <v>#NAME?</v>
      </c>
      <c r="N6" s="6" t="e">
        <f ca="1">L6-M6</f>
        <v>#NAME?</v>
      </c>
      <c r="O6" s="6" t="e">
        <f ca="1">FIELD("SanLuongDK")</f>
        <v>#NAME?</v>
      </c>
      <c r="P6" s="7" t="e">
        <f ca="1">E6/O6</f>
        <v>#NAME?</v>
      </c>
      <c r="Q6" s="6" t="e">
        <f ca="1">G6/1.1-M6</f>
        <v>#NAME?</v>
      </c>
      <c r="R6" s="6" t="e">
        <f ca="1">G6/1.1-L6</f>
        <v>#NAME?</v>
      </c>
    </row>
  </sheetData>
  <mergeCells count="15">
    <mergeCell ref="L3:N3"/>
    <mergeCell ref="B1:R1"/>
    <mergeCell ref="O3:O4"/>
    <mergeCell ref="P3:P4"/>
    <mergeCell ref="Q3:Q4"/>
    <mergeCell ref="H3:H4"/>
    <mergeCell ref="I3:I4"/>
    <mergeCell ref="J3:K3"/>
    <mergeCell ref="R3:R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TỔNG HỢP</vt:lpstr>
      <vt:lpstr>'TỔNG HỢP'!DETAILRANGE</vt:lpstr>
      <vt:lpstr>'TỔNG HỢP'!HEADERRANGE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2017-06-01T02:20:10Z</dcterms:created>
  <dcterms:modified xsi:type="dcterms:W3CDTF">2017-07-25T04:05:29Z</dcterms:modified>
</cp:coreProperties>
</file>