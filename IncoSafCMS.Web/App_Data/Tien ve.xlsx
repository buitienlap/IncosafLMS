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codeName="ThisWorkbook"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650"/>
  </bookViews>
  <sheets>
    <sheet name="TIỀN VỀ" sheetId="1" r:id="rId1"/>
  </sheets>
  <definedNames>
    <definedName name="_xlnm._FilterDatabase" localSheetId="0" hidden="1">'TIỀN VỀ'!$A$4:$T$4</definedName>
    <definedName name="DETAILRANGE" localSheetId="0">'TIỀN VỀ'!$A$6:$T$6</definedName>
    <definedName name="HEADERRANGE" localSheetId="0">'TIỀN VỀ'!$A$1:$T$5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S6" i="1"/>
  <c r="J6" i="1"/>
  <c r="E6" i="1"/>
  <c r="I6" i="1"/>
  <c r="F6" i="1"/>
  <c r="R6" i="1"/>
  <c r="D6" i="1"/>
  <c r="G6" i="1"/>
  <c r="N6" i="1"/>
  <c r="O6" i="1"/>
  <c r="K6" i="1"/>
  <c r="H6" i="1"/>
  <c r="M6" i="1"/>
  <c r="C6" i="1"/>
  <c r="P6" i="1"/>
  <c r="P5" i="1" l="1"/>
  <c r="R5" i="1"/>
  <c r="O5" i="1"/>
  <c r="S5" i="1"/>
  <c r="J5" i="1"/>
  <c r="K5" i="1"/>
  <c r="I5" i="1"/>
  <c r="L6" i="1"/>
  <c r="L5" i="1" s="1"/>
  <c r="Q6" i="1"/>
  <c r="Q5" i="1" s="1"/>
  <c r="T6" i="1"/>
  <c r="T5" i="1" s="1"/>
</calcChain>
</file>

<file path=xl/sharedStrings.xml><?xml version="1.0" encoding="utf-8"?>
<sst xmlns="http://schemas.openxmlformats.org/spreadsheetml/2006/main" count="23" uniqueCount="23">
  <si>
    <t>Tổng tiền</t>
  </si>
  <si>
    <t>C.Khoản</t>
  </si>
  <si>
    <t>Tiền mặt</t>
  </si>
  <si>
    <t>Số P.thu</t>
  </si>
  <si>
    <t>Ngày</t>
  </si>
  <si>
    <t>Ngày ký</t>
  </si>
  <si>
    <t>N</t>
  </si>
  <si>
    <t>Số</t>
  </si>
  <si>
    <t>Thu quản lý T.Tâm</t>
  </si>
  <si>
    <t>Khoán Chủ trì</t>
  </si>
  <si>
    <t>Khoán Trung tâm</t>
  </si>
  <si>
    <t>Tiền về</t>
  </si>
  <si>
    <t>Đơn vị</t>
  </si>
  <si>
    <t>Chủ trì</t>
  </si>
  <si>
    <t>Ngày xuất C.từ</t>
  </si>
  <si>
    <t>Hợp đồng</t>
  </si>
  <si>
    <t>STT</t>
  </si>
  <si>
    <t>BÁO CÁO TIỀN VỀ</t>
  </si>
  <si>
    <t>Giá trị H.Đồng đã ký</t>
  </si>
  <si>
    <t>Biên lai</t>
  </si>
  <si>
    <t>Hóa đơn</t>
  </si>
  <si>
    <t>Tổng xuất</t>
  </si>
  <si>
    <t>Chứng từ đã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</si>
</sst>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T6"/>
  <sheetViews>
    <sheetView showGridLines="0" tabSelected="1" topLeftCell="G1" workbookViewId="0">
      <pane ySplit="5" topLeftCell="A6" activePane="bottomLeft" state="frozen"/>
      <selection pane="bottomLeft" activeCell="S7" sqref="S7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0" style="1" customWidth="1"/>
    <col min="4" max="4" width="7.28515625" style="1" customWidth="1"/>
    <col min="5" max="5" width="10.5703125" style="1" customWidth="1"/>
    <col min="6" max="6" width="12.28515625" style="1" customWidth="1"/>
    <col min="7" max="7" width="16.5703125" style="1" customWidth="1"/>
    <col min="8" max="8" width="28.5703125" style="1" customWidth="1"/>
    <col min="9" max="12" width="11.85546875" style="1" customWidth="1"/>
    <col min="13" max="13" width="11.28515625" style="1" customWidth="1"/>
    <col min="14" max="14" width="7.7109375" style="1" customWidth="1"/>
    <col min="15" max="20" width="11.28515625" style="1" customWidth="1"/>
    <col min="21" max="16384" width="9.140625" style="1"/>
  </cols>
  <sheetData>
    <row r="1" spans="2:20" ht="20.25" x14ac:dyDescent="0.2">
      <c r="B1" s="14" t="s">
        <v>17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3" spans="2:20" ht="12.75" customHeight="1" x14ac:dyDescent="0.2">
      <c r="B3" s="12" t="s">
        <v>16</v>
      </c>
      <c r="C3" s="15" t="s">
        <v>15</v>
      </c>
      <c r="D3" s="15"/>
      <c r="E3" s="15"/>
      <c r="F3" s="12" t="s">
        <v>14</v>
      </c>
      <c r="G3" s="12" t="s">
        <v>13</v>
      </c>
      <c r="H3" s="12" t="s">
        <v>12</v>
      </c>
      <c r="I3" s="12" t="s">
        <v>18</v>
      </c>
      <c r="J3" s="15" t="s">
        <v>22</v>
      </c>
      <c r="K3" s="15"/>
      <c r="L3" s="15"/>
      <c r="M3" s="15" t="s">
        <v>11</v>
      </c>
      <c r="N3" s="15"/>
      <c r="O3" s="15"/>
      <c r="P3" s="15"/>
      <c r="Q3" s="15"/>
      <c r="R3" s="12" t="s">
        <v>10</v>
      </c>
      <c r="S3" s="12" t="s">
        <v>9</v>
      </c>
      <c r="T3" s="12" t="s">
        <v>8</v>
      </c>
    </row>
    <row r="4" spans="2:20" x14ac:dyDescent="0.2">
      <c r="B4" s="13"/>
      <c r="C4" s="2" t="s">
        <v>7</v>
      </c>
      <c r="D4" s="2" t="s">
        <v>6</v>
      </c>
      <c r="E4" s="2" t="s">
        <v>5</v>
      </c>
      <c r="F4" s="13"/>
      <c r="G4" s="13"/>
      <c r="H4" s="13"/>
      <c r="I4" s="13"/>
      <c r="J4" s="3" t="s">
        <v>19</v>
      </c>
      <c r="K4" s="3" t="s">
        <v>20</v>
      </c>
      <c r="L4" s="3" t="s">
        <v>21</v>
      </c>
      <c r="M4" s="2" t="s">
        <v>4</v>
      </c>
      <c r="N4" s="2" t="s">
        <v>3</v>
      </c>
      <c r="O4" s="2" t="s">
        <v>2</v>
      </c>
      <c r="P4" s="2" t="s">
        <v>1</v>
      </c>
      <c r="Q4" s="2" t="s">
        <v>0</v>
      </c>
      <c r="R4" s="13"/>
      <c r="S4" s="13"/>
      <c r="T4" s="13"/>
    </row>
    <row r="5" spans="2:20" x14ac:dyDescent="0.2">
      <c r="B5" s="8"/>
      <c r="C5" s="8"/>
      <c r="D5" s="8"/>
      <c r="E5" s="9"/>
      <c r="F5" s="9"/>
      <c r="G5" s="10"/>
      <c r="H5" s="10"/>
      <c r="I5" s="11" t="e">
        <f ca="1">SUM(I6:I1048576)</f>
        <v>#NAME?</v>
      </c>
      <c r="J5" s="11" t="e">
        <f t="shared" ref="J5:L5" ca="1" si="0">SUM(J6:J1048576)</f>
        <v>#NAME?</v>
      </c>
      <c r="K5" s="11" t="e">
        <f t="shared" ca="1" si="0"/>
        <v>#NAME?</v>
      </c>
      <c r="L5" s="11" t="e">
        <f t="shared" ca="1" si="0"/>
        <v>#NAME?</v>
      </c>
      <c r="M5" s="11"/>
      <c r="N5" s="11"/>
      <c r="O5" s="11" t="e">
        <f t="shared" ref="O5" ca="1" si="1">SUM(O6:O1048576)</f>
        <v>#NAME?</v>
      </c>
      <c r="P5" s="11" t="e">
        <f t="shared" ref="P5:Q5" ca="1" si="2">SUM(P6:P1048576)</f>
        <v>#NAME?</v>
      </c>
      <c r="Q5" s="11" t="e">
        <f t="shared" ca="1" si="2"/>
        <v>#NAME?</v>
      </c>
      <c r="R5" s="11" t="e">
        <f t="shared" ref="R5" ca="1" si="3">SUM(R6:R1048576)</f>
        <v>#NAME?</v>
      </c>
      <c r="S5" s="11" t="e">
        <f t="shared" ref="S5" ca="1" si="4">SUM(S6:S1048576)</f>
        <v>#NAME?</v>
      </c>
      <c r="T5" s="11" t="e">
        <f t="shared" ref="T5" ca="1" si="5">SUM(T6:T1048576)</f>
        <v>#NAME?</v>
      </c>
    </row>
    <row r="6" spans="2:20" x14ac:dyDescent="0.2">
      <c r="B6" s="4">
        <f>ROW()-5</f>
        <v>1</v>
      </c>
      <c r="C6" s="4" t="e">
        <f ca="1">FIELD("MaHD")</f>
        <v>#NAME?</v>
      </c>
      <c r="D6" s="4" t="e">
        <f ca="1">FIELD("KieuHD")</f>
        <v>#NAME?</v>
      </c>
      <c r="E6" s="5" t="e">
        <f ca="1">FIELD("ContractSignDate")</f>
        <v>#NAME?</v>
      </c>
      <c r="F6" s="5" t="e">
        <f ca="1">FIELD("NgayXuatHD")</f>
        <v>#NAME?</v>
      </c>
      <c r="G6" s="6" t="e">
        <f ca="1">FIELD("ContractOwner")</f>
        <v>#NAME?</v>
      </c>
      <c r="H6" s="6" t="e">
        <f ca="1">FIELD("CustomerName")</f>
        <v>#NAME?</v>
      </c>
      <c r="I6" s="7" t="e">
        <f ca="1">FIELD("SanLuong")</f>
        <v>#NAME?</v>
      </c>
      <c r="J6" s="7" t="e">
        <f ca="1">FIELD("TienBienLai")</f>
        <v>#NAME?</v>
      </c>
      <c r="K6" s="7" t="e">
        <f ca="1">FIELD("TienHoaDon")</f>
        <v>#NAME?</v>
      </c>
      <c r="L6" s="7" t="e">
        <f ca="1">J6+K6</f>
        <v>#NAME?</v>
      </c>
      <c r="M6" s="5" t="e">
        <f ca="1">FIELD("NgayTienVe")</f>
        <v>#NAME?</v>
      </c>
      <c r="N6" s="4" t="e">
        <f ca="1">FIELD("SoPhieuThu")</f>
        <v>#NAME?</v>
      </c>
      <c r="O6" s="7" t="e">
        <f ca="1">FIELD("TienVeTienMat")</f>
        <v>#NAME?</v>
      </c>
      <c r="P6" s="7" t="e">
        <f ca="1">FIELD("TienVeChuyenKhoan")</f>
        <v>#NAME?</v>
      </c>
      <c r="Q6" s="7" t="e">
        <f ca="1">O6+P6</f>
        <v>#NAME?</v>
      </c>
      <c r="R6" s="7" t="e">
        <f ca="1">FIELD("KhoanTrungTam")</f>
        <v>#NAME?</v>
      </c>
      <c r="S6" s="7" t="e">
        <f ca="1">FIELD("KhoanChuTri")</f>
        <v>#NAME?</v>
      </c>
      <c r="T6" s="7" t="e">
        <f ca="1">R6-S6</f>
        <v>#NAME?</v>
      </c>
    </row>
  </sheetData>
  <mergeCells count="12">
    <mergeCell ref="H3:H4"/>
    <mergeCell ref="B1:T1"/>
    <mergeCell ref="F3:F4"/>
    <mergeCell ref="M3:Q3"/>
    <mergeCell ref="R3:R4"/>
    <mergeCell ref="S3:S4"/>
    <mergeCell ref="T3:T4"/>
    <mergeCell ref="B3:B4"/>
    <mergeCell ref="C3:E3"/>
    <mergeCell ref="G3:G4"/>
    <mergeCell ref="I3:I4"/>
    <mergeCell ref="J3:L3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TIỀN VỀ</vt:lpstr>
      <vt:lpstr>'TIỀN VỀ'!DETAILRANGE</vt:lpstr>
      <vt:lpstr>'TIỀN VỀ'!HEADERRANGE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2017-06-01T07:58:56Z</dcterms:created>
  <dcterms:modified xsi:type="dcterms:W3CDTF">2017-09-20T02:51:10Z</dcterms:modified>
</cp:coreProperties>
</file>