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 codeName="ThisWorkbook"/>
  <mc:AlternateContent xmlns:mc="http://schemas.openxmlformats.org/markup-compatibility/2006">
    <mc:Choice Requires="x15">
      <x15ac:absPath xmlns:x15ac="http://schemas.microsoft.com/office/spreadsheetml/2010/11/ac" url="D:\TFS\IncoSafCMS\IncoSafCMS.Web\App_Data\"/>
    </mc:Choice>
  </mc:AlternateContent>
  <bookViews>
    <workbookView xWindow="0" yWindow="0" windowWidth="15360" windowHeight="7215"/>
  </bookViews>
  <sheets>
    <sheet name="DOANH THU" sheetId="1" r:id="rId1"/>
  </sheets>
  <definedNames>
    <definedName name="_xlnm._FilterDatabase" localSheetId="0" hidden="1">'DOANH THU'!$A$4:$O$4</definedName>
    <definedName name="DETAILRANGE" localSheetId="0">'DOANH THU'!$A$6:$Q$6</definedName>
    <definedName name="HEADERRANGE" localSheetId="0">'DOANH THU'!$A$1:$Q$5</definedName>
    <definedName name="HORIZONTALMODE">FALSE</definedName>
    <definedName name="MAILMERGEMODE">"OneWorksheet"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H6" i="1"/>
  <c r="M6" i="1"/>
  <c r="F6" i="1"/>
  <c r="G6" i="1"/>
  <c r="Q6" i="1"/>
  <c r="I6" i="1"/>
  <c r="P6" i="1"/>
  <c r="D6" i="1"/>
  <c r="O6" i="1"/>
  <c r="L6" i="1"/>
  <c r="E6" i="1"/>
  <c r="K6" i="1"/>
  <c r="C6" i="1"/>
  <c r="J6" i="1"/>
  <c r="Q5" i="1" l="1"/>
  <c r="P5" i="1"/>
  <c r="L5" i="1"/>
  <c r="O5" i="1"/>
  <c r="M5" i="1"/>
  <c r="I5" i="1"/>
  <c r="N6" i="1"/>
  <c r="N5" i="1" s="1"/>
</calcChain>
</file>

<file path=xl/sharedStrings.xml><?xml version="1.0" encoding="utf-8"?>
<sst xmlns="http://schemas.openxmlformats.org/spreadsheetml/2006/main" count="19" uniqueCount="19">
  <si>
    <t>Tổng tiền HĐ</t>
  </si>
  <si>
    <t>Thuế HĐ</t>
  </si>
  <si>
    <t>DT HĐ</t>
  </si>
  <si>
    <t>Ngày HĐ</t>
  </si>
  <si>
    <t>Số HĐ</t>
  </si>
  <si>
    <t>Ngày ký</t>
  </si>
  <si>
    <t>N</t>
  </si>
  <si>
    <t>Số</t>
  </si>
  <si>
    <t>Khoán cá nhân</t>
  </si>
  <si>
    <t>Doanh thu hóa đơn</t>
  </si>
  <si>
    <t>Giá trị H.Đồng đã ký</t>
  </si>
  <si>
    <t>Nội dung</t>
  </si>
  <si>
    <t>Đơn vị</t>
  </si>
  <si>
    <t>Chủ trì</t>
  </si>
  <si>
    <t>Hợp đồng</t>
  </si>
  <si>
    <t>STT</t>
  </si>
  <si>
    <t>BÁO CÁO DOANH THU</t>
  </si>
  <si>
    <t>Khoán công ty</t>
  </si>
  <si>
    <t>Khoán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</si>
</sst>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3" fontId="1" fillId="0" borderId="2" xfId="0" applyNumberFormat="1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0" fontId="1" fillId="0" borderId="2" xfId="0" applyNumberFormat="1" applyFont="1" applyBorder="1" applyAlignment="1">
      <alignment horizontal="center" vertical="top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Q6"/>
  <sheetViews>
    <sheetView showGridLines="0" tabSelected="1" topLeftCell="G1" workbookViewId="0">
      <pane ySplit="5" topLeftCell="A6" activePane="bottomLeft" state="frozen"/>
      <selection pane="bottomLeft" activeCell="H3" sqref="H3:H4"/>
    </sheetView>
  </sheetViews>
  <sheetFormatPr defaultRowHeight="12.75" x14ac:dyDescent="0.2"/>
  <cols>
    <col min="1" max="1" width="2.5703125" style="1" customWidth="1"/>
    <col min="2" max="2" width="5.7109375" style="1" customWidth="1"/>
    <col min="3" max="3" width="10" style="1" customWidth="1"/>
    <col min="4" max="4" width="7.28515625" style="1" customWidth="1"/>
    <col min="5" max="5" width="10.5703125" style="1" customWidth="1"/>
    <col min="6" max="6" width="16.5703125" style="1" customWidth="1"/>
    <col min="7" max="8" width="28.5703125" style="1" customWidth="1"/>
    <col min="9" max="9" width="12.85546875" style="1" customWidth="1"/>
    <col min="10" max="13" width="11.28515625" style="1" customWidth="1"/>
    <col min="14" max="14" width="13.28515625" style="1" customWidth="1"/>
    <col min="15" max="15" width="12.85546875" style="1" customWidth="1"/>
    <col min="16" max="16" width="15.140625" style="1" customWidth="1"/>
    <col min="17" max="17" width="16.42578125" style="1" customWidth="1"/>
    <col min="18" max="16384" width="9.140625" style="1"/>
  </cols>
  <sheetData>
    <row r="1" spans="2:17" ht="20.25" x14ac:dyDescent="0.2">
      <c r="B1" s="16" t="s">
        <v>16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3" spans="2:17" ht="12.75" customHeight="1" x14ac:dyDescent="0.2">
      <c r="B3" s="13" t="s">
        <v>15</v>
      </c>
      <c r="C3" s="15" t="s">
        <v>14</v>
      </c>
      <c r="D3" s="15"/>
      <c r="E3" s="15"/>
      <c r="F3" s="13" t="s">
        <v>13</v>
      </c>
      <c r="G3" s="13" t="s">
        <v>12</v>
      </c>
      <c r="H3" s="13" t="s">
        <v>11</v>
      </c>
      <c r="I3" s="13" t="s">
        <v>10</v>
      </c>
      <c r="J3" s="15" t="s">
        <v>9</v>
      </c>
      <c r="K3" s="15"/>
      <c r="L3" s="15"/>
      <c r="M3" s="15"/>
      <c r="N3" s="15"/>
      <c r="O3" s="13" t="s">
        <v>8</v>
      </c>
      <c r="P3" s="13" t="s">
        <v>17</v>
      </c>
      <c r="Q3" s="13" t="s">
        <v>18</v>
      </c>
    </row>
    <row r="4" spans="2:17" x14ac:dyDescent="0.2">
      <c r="B4" s="14"/>
      <c r="C4" s="2" t="s">
        <v>7</v>
      </c>
      <c r="D4" s="2" t="s">
        <v>6</v>
      </c>
      <c r="E4" s="2" t="s">
        <v>5</v>
      </c>
      <c r="F4" s="14"/>
      <c r="G4" s="14"/>
      <c r="H4" s="14"/>
      <c r="I4" s="14"/>
      <c r="J4" s="2" t="s">
        <v>4</v>
      </c>
      <c r="K4" s="2" t="s">
        <v>3</v>
      </c>
      <c r="L4" s="2" t="s">
        <v>2</v>
      </c>
      <c r="M4" s="2" t="s">
        <v>1</v>
      </c>
      <c r="N4" s="2" t="s">
        <v>0</v>
      </c>
      <c r="O4" s="14"/>
      <c r="P4" s="14"/>
      <c r="Q4" s="14"/>
    </row>
    <row r="5" spans="2:17" x14ac:dyDescent="0.2">
      <c r="B5" s="7"/>
      <c r="C5" s="7"/>
      <c r="D5" s="7"/>
      <c r="E5" s="8"/>
      <c r="F5" s="9"/>
      <c r="G5" s="9"/>
      <c r="H5" s="9"/>
      <c r="I5" s="10" t="e">
        <f ca="1">SUM(I6:I1048576)</f>
        <v>#NAME?</v>
      </c>
      <c r="J5" s="12"/>
      <c r="K5" s="8"/>
      <c r="L5" s="10" t="e">
        <f t="shared" ref="L5:O5" ca="1" si="0">SUM(L6:L1048576)</f>
        <v>#NAME?</v>
      </c>
      <c r="M5" s="10" t="e">
        <f t="shared" ca="1" si="0"/>
        <v>#NAME?</v>
      </c>
      <c r="N5" s="10" t="e">
        <f t="shared" ca="1" si="0"/>
        <v>#NAME?</v>
      </c>
      <c r="O5" s="10" t="e">
        <f t="shared" ca="1" si="0"/>
        <v>#NAME?</v>
      </c>
      <c r="P5" s="10" t="e">
        <f t="shared" ref="P5:Q5" ca="1" si="1">SUM(P6:P1048576)</f>
        <v>#NAME?</v>
      </c>
      <c r="Q5" s="10" t="e">
        <f t="shared" ca="1" si="1"/>
        <v>#NAME?</v>
      </c>
    </row>
    <row r="6" spans="2:17" x14ac:dyDescent="0.2">
      <c r="B6" s="3">
        <f>ROW() - 5</f>
        <v>1</v>
      </c>
      <c r="C6" s="3" t="e">
        <f ca="1">FIELD("MaHD")</f>
        <v>#NAME?</v>
      </c>
      <c r="D6" s="3" t="e">
        <f ca="1">FIELD("KieuHD")</f>
        <v>#NAME?</v>
      </c>
      <c r="E6" s="6" t="e">
        <f ca="1">FIELD("ContractSignDate")</f>
        <v>#NAME?</v>
      </c>
      <c r="F6" s="4" t="e">
        <f ca="1">FIELD("ContractOwner")</f>
        <v>#NAME?</v>
      </c>
      <c r="G6" s="4" t="e">
        <f ca="1">FIELD("CustomerName")</f>
        <v>#NAME?</v>
      </c>
      <c r="H6" s="4" t="e">
        <f ca="1">FIELD("ContractName")</f>
        <v>#NAME?</v>
      </c>
      <c r="I6" s="5" t="e">
        <f ca="1">FIELD("SanLuong")</f>
        <v>#NAME?</v>
      </c>
      <c r="J6" s="11" t="e">
        <f ca="1">FIELD("SoHoaDon")</f>
        <v>#NAME?</v>
      </c>
      <c r="K6" s="6" t="e">
        <f ca="1">FIELD("NgayXuatHD")</f>
        <v>#NAME?</v>
      </c>
      <c r="L6" s="5" t="e">
        <f ca="1">FIELD("DoanhThuHD")</f>
        <v>#NAME?</v>
      </c>
      <c r="M6" s="5" t="e">
        <f ca="1">FIELD("TienThueHoaDon")</f>
        <v>#NAME?</v>
      </c>
      <c r="N6" s="5" t="e">
        <f ca="1">L6+M6</f>
        <v>#NAME?</v>
      </c>
      <c r="O6" s="5" t="e">
        <f ca="1">FIELD("KhoanCaNhan")</f>
        <v>#NAME?</v>
      </c>
      <c r="P6" s="5" t="e">
        <f ca="1">FIELD("KhoanCongTy")</f>
        <v>#NAME?</v>
      </c>
      <c r="Q6" s="5" t="e">
        <f ca="1">FIELD("KhoanNhom")</f>
        <v>#NAME?</v>
      </c>
    </row>
  </sheetData>
  <mergeCells count="11">
    <mergeCell ref="P3:P4"/>
    <mergeCell ref="Q3:Q4"/>
    <mergeCell ref="J3:N3"/>
    <mergeCell ref="B1:O1"/>
    <mergeCell ref="O3:O4"/>
    <mergeCell ref="H3:H4"/>
    <mergeCell ref="I3:I4"/>
    <mergeCell ref="B3:B4"/>
    <mergeCell ref="C3:E3"/>
    <mergeCell ref="F3:F4"/>
    <mergeCell ref="G3:G4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DOANH THU</vt:lpstr>
      <vt:lpstr>'DOANH THU'!DETAILRANGE</vt:lpstr>
      <vt:lpstr>'DOANH THU'!HEADERRANGE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tuấn</dc:creator>
  <cp:lastModifiedBy>phạm minh tuấn</cp:lastModifiedBy>
  <dcterms:created xsi:type="dcterms:W3CDTF">2017-06-01T07:59:16Z</dcterms:created>
  <dcterms:modified xsi:type="dcterms:W3CDTF">2017-10-09T02:32:43Z</dcterms:modified>
</cp:coreProperties>
</file>